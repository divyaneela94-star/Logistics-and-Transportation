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475AFE2-AB3C-46C9-A694-D7497DADC01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Trip_Data" sheetId="1" r:id="rId1"/>
    <sheet name="Vehicle_Master" sheetId="2" r:id="rId2"/>
  </sheets>
  <definedNames>
    <definedName name="_xlnm._FilterDatabase" localSheetId="0" hidden="1">Trip_Data!$A$1:$I$51</definedName>
  </definedNames>
  <calcPr calcId="191029"/>
  <extLst>
    <ext uri="GoogleSheetsCustomDataVersion2">
      <go:sheetsCustomData xmlns:go="http://customooxmlschemas.google.com/" r:id="rId6" roundtripDataChecksum="OjtSIExpDRuFWnRkkRNPCcbsYmD++x9KnTgdhKmFnpw="/>
    </ext>
  </extLst>
</workbook>
</file>

<file path=xl/calcChain.xml><?xml version="1.0" encoding="utf-8"?>
<calcChain xmlns="http://schemas.openxmlformats.org/spreadsheetml/2006/main">
  <c r="H2" i="2" l="1"/>
  <c r="G2" i="2"/>
  <c r="F2" i="2"/>
  <c r="I2" i="2" s="1"/>
  <c r="H3" i="2"/>
  <c r="G3" i="2"/>
  <c r="F3" i="2"/>
  <c r="I3" i="2" s="1"/>
  <c r="H4" i="2"/>
  <c r="G4" i="2"/>
  <c r="F4" i="2"/>
  <c r="I4" i="2" s="1"/>
  <c r="H8" i="2"/>
  <c r="G8" i="2"/>
  <c r="H7" i="2"/>
  <c r="G7" i="2"/>
  <c r="H6" i="2"/>
  <c r="G6" i="2"/>
  <c r="G5" i="2"/>
  <c r="H5" i="2"/>
  <c r="F5" i="2"/>
  <c r="I5" i="2" s="1"/>
  <c r="F6" i="2"/>
  <c r="I6" i="2" s="1"/>
  <c r="F7" i="2"/>
  <c r="I7" i="2" s="1"/>
  <c r="F8" i="2"/>
  <c r="I8" i="2" s="1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<sst xmlns="http://schemas.openxmlformats.org/spreadsheetml/2006/main" count="332" uniqueCount="96">
  <si>
    <t>Projects</t>
  </si>
  <si>
    <t>Vehicle_ID</t>
  </si>
  <si>
    <t>Driver_ID</t>
  </si>
  <si>
    <t>Origin</t>
  </si>
  <si>
    <t>Destination</t>
  </si>
  <si>
    <t>Distance_km</t>
  </si>
  <si>
    <t>Fuel_Consumed_L</t>
  </si>
  <si>
    <t>Delivery_Status</t>
  </si>
  <si>
    <t>Delivery_Date</t>
  </si>
  <si>
    <t>V04</t>
  </si>
  <si>
    <t>D01</t>
  </si>
  <si>
    <t>Delhi</t>
  </si>
  <si>
    <t>Pune</t>
  </si>
  <si>
    <t>On-Time</t>
  </si>
  <si>
    <t>V06</t>
  </si>
  <si>
    <t>D08</t>
  </si>
  <si>
    <t>Mumbai</t>
  </si>
  <si>
    <t>Bangalore</t>
  </si>
  <si>
    <t>D09</t>
  </si>
  <si>
    <t>Hyderabad</t>
  </si>
  <si>
    <t>D07</t>
  </si>
  <si>
    <t>Chennai</t>
  </si>
  <si>
    <t>Late</t>
  </si>
  <si>
    <t>V07</t>
  </si>
  <si>
    <t>D03</t>
  </si>
  <si>
    <t>Kolkata</t>
  </si>
  <si>
    <t>V02</t>
  </si>
  <si>
    <t>D10</t>
  </si>
  <si>
    <t>D02</t>
  </si>
  <si>
    <t>T013</t>
  </si>
  <si>
    <t>V05</t>
  </si>
  <si>
    <t>D04</t>
  </si>
  <si>
    <t>T014</t>
  </si>
  <si>
    <t>D05</t>
  </si>
  <si>
    <t>T015</t>
  </si>
  <si>
    <t>D06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</si>
  <si>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</si>
  <si>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</si>
  <si>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</si>
  <si>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</si>
  <si>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</si>
  <si>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</si>
  <si>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</si>
  <si>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</si>
  <si>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</si>
  <si>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</si>
  <si>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</si>
  <si>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</si>
  <si>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</si>
  <si>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</si>
  <si>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V01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</si>
  <si>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</si>
  <si>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</si>
  <si>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</si>
  <si>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</si>
  <si>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</si>
  <si>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</si>
  <si>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</si>
  <si>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</si>
  <si>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</si>
  <si>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V03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</si>
  <si>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</si>
  <si>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</si>
  <si>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</si>
  <si>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</si>
  <si>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</si>
  <si>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</si>
  <si>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</si>
  <si>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</si>
  <si>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</si>
  <si>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</si>
  <si>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</si>
  <si>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</si>
  <si>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Vehicle_Type</t>
  </si>
  <si>
    <t>Capacity_kg</t>
  </si>
  <si>
    <t>Maintenance_Cost</t>
  </si>
  <si>
    <t>Van</t>
  </si>
  <si>
    <t>Truck</t>
  </si>
  <si>
    <t>Mini-Truck</t>
  </si>
  <si>
    <t>T001</t>
  </si>
  <si>
    <t>T008</t>
  </si>
  <si>
    <t>T009</t>
  </si>
  <si>
    <t>T003</t>
  </si>
  <si>
    <t>T007</t>
  </si>
  <si>
    <t>T002</t>
  </si>
  <si>
    <t>T004</t>
  </si>
  <si>
    <t>T005</t>
  </si>
  <si>
    <t>T006</t>
  </si>
  <si>
    <t>T010</t>
  </si>
  <si>
    <t>T011</t>
  </si>
  <si>
    <t>T012</t>
  </si>
  <si>
    <t>Total Distance_km</t>
  </si>
  <si>
    <t xml:space="preserve">Fuel Consumed </t>
  </si>
  <si>
    <t>On Time Trip</t>
  </si>
  <si>
    <t>Total No Trip</t>
  </si>
  <si>
    <t>Fuel cost &amp;Maintenace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</si>
</sst>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2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3" fillId="0" borderId="0" xfId="0" applyNumberFormat="1" applyFont="1"/>
    <xf numFmtId="14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0"/>
  <sheetViews>
    <sheetView tabSelected="1" workbookViewId="0">
      <selection activeCell="L7" sqref="L7"/>
    </sheetView>
  </sheetViews>
  <sheetFormatPr defaultColWidth="14.42578125" defaultRowHeight="15" customHeight="1" x14ac:dyDescent="0.25"/>
  <cols>
    <col min="1" max="1" width="8.140625" bestFit="1" customWidth="1"/>
    <col min="2" max="2" width="10.42578125" customWidth="1"/>
    <col min="3" max="3" width="9.42578125" customWidth="1"/>
    <col min="4" max="4" width="10.42578125" customWidth="1"/>
    <col min="5" max="5" width="11.28515625" customWidth="1"/>
    <col min="6" max="6" width="12.42578125" customWidth="1"/>
    <col min="7" max="7" width="17" customWidth="1"/>
    <col min="8" max="8" width="14.85546875" customWidth="1"/>
    <col min="9" max="9" width="19" style="8" customWidth="1"/>
    <col min="10" max="26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6" t="s">
        <v>8</v>
      </c>
    </row>
    <row r="2" spans="1:9" x14ac:dyDescent="0.25">
      <c r="A2" t="s">
        <v>79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1173</v>
      </c>
      <c r="G2" s="2">
        <v>108.42</v>
      </c>
      <c r="H2" s="2" t="s">
        <v>13</v>
      </c>
      <c r="I2" s="7">
        <v>44953</v>
      </c>
    </row>
    <row r="3" spans="1:9" x14ac:dyDescent="0.25">
      <c r="A3" t="s">
        <v>84</v>
      </c>
      <c r="B3" s="2" t="s">
        <v>14</v>
      </c>
      <c r="C3" s="2" t="s">
        <v>15</v>
      </c>
      <c r="D3" s="2" t="s">
        <v>16</v>
      </c>
      <c r="E3" s="2" t="s">
        <v>17</v>
      </c>
      <c r="F3" s="2">
        <v>1727</v>
      </c>
      <c r="G3" s="2">
        <v>161.33000000000001</v>
      </c>
      <c r="H3" s="2" t="s">
        <v>13</v>
      </c>
      <c r="I3" s="7">
        <v>44978</v>
      </c>
    </row>
    <row r="4" spans="1:9" x14ac:dyDescent="0.25">
      <c r="A4" t="s">
        <v>82</v>
      </c>
      <c r="B4" s="2" t="s">
        <v>14</v>
      </c>
      <c r="C4" s="2" t="s">
        <v>15</v>
      </c>
      <c r="D4" s="2" t="s">
        <v>16</v>
      </c>
      <c r="E4" s="2" t="s">
        <v>12</v>
      </c>
      <c r="F4" s="2">
        <v>1459</v>
      </c>
      <c r="G4" s="2">
        <v>154.69999999999999</v>
      </c>
      <c r="H4" s="2" t="s">
        <v>13</v>
      </c>
      <c r="I4" s="7">
        <v>44974</v>
      </c>
    </row>
    <row r="5" spans="1:9" x14ac:dyDescent="0.25">
      <c r="A5" t="s">
        <v>85</v>
      </c>
      <c r="B5" s="2" t="s">
        <v>9</v>
      </c>
      <c r="C5" s="2" t="s">
        <v>18</v>
      </c>
      <c r="D5" s="2" t="s">
        <v>19</v>
      </c>
      <c r="E5" s="2" t="s">
        <v>12</v>
      </c>
      <c r="F5" s="2">
        <v>382</v>
      </c>
      <c r="G5" s="2">
        <v>26.6</v>
      </c>
      <c r="H5" s="2" t="s">
        <v>13</v>
      </c>
      <c r="I5" s="7">
        <v>44975</v>
      </c>
    </row>
    <row r="6" spans="1:9" x14ac:dyDescent="0.25">
      <c r="A6" t="s">
        <v>86</v>
      </c>
      <c r="B6" s="2" t="s">
        <v>14</v>
      </c>
      <c r="C6" s="2" t="s">
        <v>15</v>
      </c>
      <c r="D6" s="2" t="s">
        <v>12</v>
      </c>
      <c r="E6" s="2" t="s">
        <v>16</v>
      </c>
      <c r="F6" s="2">
        <v>398</v>
      </c>
      <c r="G6" s="2">
        <v>33.200000000000003</v>
      </c>
      <c r="H6" s="2" t="s">
        <v>13</v>
      </c>
      <c r="I6" s="7">
        <v>44972</v>
      </c>
    </row>
    <row r="7" spans="1:9" x14ac:dyDescent="0.25">
      <c r="A7" t="s">
        <v>87</v>
      </c>
      <c r="B7" s="2" t="s">
        <v>14</v>
      </c>
      <c r="C7" s="2" t="s">
        <v>20</v>
      </c>
      <c r="D7" s="2" t="s">
        <v>21</v>
      </c>
      <c r="E7" s="2" t="s">
        <v>16</v>
      </c>
      <c r="F7" s="2">
        <v>1275</v>
      </c>
      <c r="G7" s="2">
        <v>85.04</v>
      </c>
      <c r="H7" s="2" t="s">
        <v>22</v>
      </c>
      <c r="I7" s="7">
        <v>44982</v>
      </c>
    </row>
    <row r="8" spans="1:9" x14ac:dyDescent="0.25">
      <c r="A8" t="s">
        <v>83</v>
      </c>
      <c r="B8" s="2" t="s">
        <v>23</v>
      </c>
      <c r="C8" s="2" t="s">
        <v>24</v>
      </c>
      <c r="D8" s="2" t="s">
        <v>21</v>
      </c>
      <c r="E8" s="2" t="s">
        <v>25</v>
      </c>
      <c r="F8" s="2">
        <v>752</v>
      </c>
      <c r="G8" s="2">
        <v>58.08</v>
      </c>
      <c r="H8" s="2" t="s">
        <v>13</v>
      </c>
      <c r="I8" s="7">
        <v>44945</v>
      </c>
    </row>
    <row r="9" spans="1:9" x14ac:dyDescent="0.25">
      <c r="A9" t="s">
        <v>80</v>
      </c>
      <c r="B9" s="2" t="s">
        <v>26</v>
      </c>
      <c r="C9" s="2" t="s">
        <v>27</v>
      </c>
      <c r="D9" s="2" t="s">
        <v>11</v>
      </c>
      <c r="E9" s="2" t="s">
        <v>12</v>
      </c>
      <c r="F9" s="2">
        <v>74</v>
      </c>
      <c r="G9" s="2">
        <v>5.24</v>
      </c>
      <c r="H9" s="2" t="s">
        <v>13</v>
      </c>
      <c r="I9" s="7">
        <v>44927</v>
      </c>
    </row>
    <row r="10" spans="1:9" x14ac:dyDescent="0.25">
      <c r="A10" t="s">
        <v>81</v>
      </c>
      <c r="B10" s="2" t="s">
        <v>26</v>
      </c>
      <c r="C10" s="2" t="s">
        <v>20</v>
      </c>
      <c r="D10" s="2" t="s">
        <v>11</v>
      </c>
      <c r="E10" s="2" t="s">
        <v>19</v>
      </c>
      <c r="F10" s="2">
        <v>186</v>
      </c>
      <c r="G10" s="2">
        <v>16.22</v>
      </c>
      <c r="H10" s="2" t="s">
        <v>13</v>
      </c>
      <c r="I10" s="7">
        <v>44980</v>
      </c>
    </row>
    <row r="11" spans="1:9" x14ac:dyDescent="0.25">
      <c r="A11" t="s">
        <v>88</v>
      </c>
      <c r="B11" s="2" t="s">
        <v>26</v>
      </c>
      <c r="C11" s="2" t="s">
        <v>28</v>
      </c>
      <c r="D11" s="2" t="s">
        <v>17</v>
      </c>
      <c r="E11" s="2" t="s">
        <v>19</v>
      </c>
      <c r="F11" s="2">
        <v>1375</v>
      </c>
      <c r="G11" s="2">
        <v>105.21</v>
      </c>
      <c r="H11" s="2" t="s">
        <v>22</v>
      </c>
      <c r="I11" s="7">
        <v>44959</v>
      </c>
    </row>
    <row r="12" spans="1:9" x14ac:dyDescent="0.25">
      <c r="A12" t="s">
        <v>89</v>
      </c>
      <c r="B12" s="2" t="s">
        <v>14</v>
      </c>
      <c r="C12" s="2" t="s">
        <v>24</v>
      </c>
      <c r="D12" s="2" t="s">
        <v>25</v>
      </c>
      <c r="E12" s="2" t="s">
        <v>19</v>
      </c>
      <c r="F12" s="2">
        <v>419</v>
      </c>
      <c r="G12" s="2">
        <v>31.17</v>
      </c>
      <c r="H12" s="2" t="s">
        <v>13</v>
      </c>
      <c r="I12" s="7">
        <v>44947</v>
      </c>
    </row>
    <row r="13" spans="1:9" x14ac:dyDescent="0.25">
      <c r="A13" t="s">
        <v>90</v>
      </c>
      <c r="B13" s="2" t="s">
        <v>14</v>
      </c>
      <c r="C13" s="2" t="s">
        <v>10</v>
      </c>
      <c r="D13" s="2" t="s">
        <v>25</v>
      </c>
      <c r="E13" s="2" t="s">
        <v>11</v>
      </c>
      <c r="F13" s="2">
        <v>751</v>
      </c>
      <c r="G13" s="2">
        <v>51.77</v>
      </c>
      <c r="H13" s="2" t="s">
        <v>13</v>
      </c>
      <c r="I13" s="7">
        <v>44972</v>
      </c>
    </row>
    <row r="14" spans="1:9" x14ac:dyDescent="0.25">
      <c r="A14" s="2" t="s">
        <v>29</v>
      </c>
      <c r="B14" s="2" t="s">
        <v>30</v>
      </c>
      <c r="C14" s="2" t="s">
        <v>31</v>
      </c>
      <c r="D14" s="2" t="s">
        <v>25</v>
      </c>
      <c r="E14" s="2" t="s">
        <v>21</v>
      </c>
      <c r="F14" s="2">
        <v>1571</v>
      </c>
      <c r="G14" s="2">
        <v>188.52</v>
      </c>
      <c r="H14" s="2" t="s">
        <v>22</v>
      </c>
      <c r="I14" s="7">
        <v>44959</v>
      </c>
    </row>
    <row r="15" spans="1:9" x14ac:dyDescent="0.25">
      <c r="A15" s="2" t="s">
        <v>32</v>
      </c>
      <c r="B15" s="2" t="s">
        <v>30</v>
      </c>
      <c r="C15" s="2" t="s">
        <v>33</v>
      </c>
      <c r="D15" s="2" t="s">
        <v>19</v>
      </c>
      <c r="E15" s="2" t="s">
        <v>17</v>
      </c>
      <c r="F15" s="2">
        <v>1524</v>
      </c>
      <c r="G15" s="2">
        <v>104.51</v>
      </c>
      <c r="H15" s="2" t="s">
        <v>13</v>
      </c>
      <c r="I15" s="7">
        <v>44973</v>
      </c>
    </row>
    <row r="16" spans="1:9" x14ac:dyDescent="0.25">
      <c r="A16" s="2" t="s">
        <v>34</v>
      </c>
      <c r="B16" s="2" t="s">
        <v>30</v>
      </c>
      <c r="C16" s="2" t="s">
        <v>35</v>
      </c>
      <c r="D16" s="2" t="s">
        <v>25</v>
      </c>
      <c r="E16" s="2" t="s">
        <v>16</v>
      </c>
      <c r="F16" s="2">
        <v>1956</v>
      </c>
      <c r="G16" s="2">
        <v>179.88</v>
      </c>
      <c r="H16" s="2" t="s">
        <v>13</v>
      </c>
      <c r="I16" s="7">
        <v>44947</v>
      </c>
    </row>
    <row r="17" spans="1:9" x14ac:dyDescent="0.25">
      <c r="A17" s="2" t="s">
        <v>36</v>
      </c>
      <c r="B17" s="2" t="s">
        <v>30</v>
      </c>
      <c r="C17" s="2" t="s">
        <v>35</v>
      </c>
      <c r="D17" s="2" t="s">
        <v>17</v>
      </c>
      <c r="E17" s="2" t="s">
        <v>16</v>
      </c>
      <c r="F17" s="2">
        <v>858</v>
      </c>
      <c r="G17" s="2">
        <v>92.7</v>
      </c>
      <c r="H17" s="2" t="s">
        <v>22</v>
      </c>
      <c r="I17" s="7">
        <v>44944</v>
      </c>
    </row>
    <row r="18" spans="1:9" x14ac:dyDescent="0.25">
      <c r="A18" s="2" t="s">
        <v>37</v>
      </c>
      <c r="B18" s="2" t="s">
        <v>23</v>
      </c>
      <c r="C18" s="2" t="s">
        <v>20</v>
      </c>
      <c r="D18" s="2" t="s">
        <v>12</v>
      </c>
      <c r="E18" s="2" t="s">
        <v>25</v>
      </c>
      <c r="F18" s="2">
        <v>1269</v>
      </c>
      <c r="G18" s="2">
        <v>102.91</v>
      </c>
      <c r="H18" s="2" t="s">
        <v>13</v>
      </c>
      <c r="I18" s="7">
        <v>44942</v>
      </c>
    </row>
    <row r="19" spans="1:9" x14ac:dyDescent="0.25">
      <c r="A19" s="2" t="s">
        <v>38</v>
      </c>
      <c r="B19" s="2" t="s">
        <v>23</v>
      </c>
      <c r="C19" s="2" t="s">
        <v>27</v>
      </c>
      <c r="D19" s="2" t="s">
        <v>12</v>
      </c>
      <c r="E19" s="2" t="s">
        <v>11</v>
      </c>
      <c r="F19" s="2">
        <v>1565</v>
      </c>
      <c r="G19" s="2">
        <v>107.23</v>
      </c>
      <c r="H19" s="2" t="s">
        <v>13</v>
      </c>
      <c r="I19" s="7">
        <v>44969</v>
      </c>
    </row>
    <row r="20" spans="1:9" x14ac:dyDescent="0.25">
      <c r="A20" s="2" t="s">
        <v>39</v>
      </c>
      <c r="B20" s="2" t="s">
        <v>23</v>
      </c>
      <c r="C20" s="2" t="s">
        <v>27</v>
      </c>
      <c r="D20" s="2" t="s">
        <v>19</v>
      </c>
      <c r="E20" s="2" t="s">
        <v>12</v>
      </c>
      <c r="F20" s="2">
        <v>1796</v>
      </c>
      <c r="G20" s="2">
        <v>155.52000000000001</v>
      </c>
      <c r="H20" s="2" t="s">
        <v>13</v>
      </c>
      <c r="I20" s="7">
        <v>44985</v>
      </c>
    </row>
    <row r="21" spans="1:9" ht="15.75" customHeight="1" x14ac:dyDescent="0.25">
      <c r="A21" s="2" t="s">
        <v>40</v>
      </c>
      <c r="B21" s="2" t="s">
        <v>9</v>
      </c>
      <c r="C21" s="2" t="s">
        <v>28</v>
      </c>
      <c r="D21" s="2" t="s">
        <v>16</v>
      </c>
      <c r="E21" s="2" t="s">
        <v>17</v>
      </c>
      <c r="F21" s="2">
        <v>1640</v>
      </c>
      <c r="G21" s="2">
        <v>148.87</v>
      </c>
      <c r="H21" s="2" t="s">
        <v>13</v>
      </c>
      <c r="I21" s="7">
        <v>44932</v>
      </c>
    </row>
    <row r="22" spans="1:9" ht="15.75" customHeight="1" x14ac:dyDescent="0.25">
      <c r="A22" s="2" t="s">
        <v>41</v>
      </c>
      <c r="B22" s="2" t="s">
        <v>23</v>
      </c>
      <c r="C22" s="2" t="s">
        <v>20</v>
      </c>
      <c r="D22" s="2" t="s">
        <v>11</v>
      </c>
      <c r="E22" s="2" t="s">
        <v>16</v>
      </c>
      <c r="F22" s="2">
        <v>446</v>
      </c>
      <c r="G22" s="2">
        <v>31.98</v>
      </c>
      <c r="H22" s="2" t="s">
        <v>22</v>
      </c>
      <c r="I22" s="7">
        <v>44937</v>
      </c>
    </row>
    <row r="23" spans="1:9" ht="15.75" customHeight="1" x14ac:dyDescent="0.25">
      <c r="A23" s="2" t="s">
        <v>42</v>
      </c>
      <c r="B23" s="2" t="s">
        <v>23</v>
      </c>
      <c r="C23" s="2" t="s">
        <v>18</v>
      </c>
      <c r="D23" s="2" t="s">
        <v>19</v>
      </c>
      <c r="E23" s="2" t="s">
        <v>11</v>
      </c>
      <c r="F23" s="2">
        <v>140</v>
      </c>
      <c r="G23" s="2">
        <v>11.44</v>
      </c>
      <c r="H23" s="2" t="s">
        <v>13</v>
      </c>
      <c r="I23" s="7">
        <v>44964</v>
      </c>
    </row>
    <row r="24" spans="1:9" ht="15.75" customHeight="1" x14ac:dyDescent="0.25">
      <c r="A24" s="2" t="s">
        <v>43</v>
      </c>
      <c r="B24" s="2" t="s">
        <v>14</v>
      </c>
      <c r="C24" s="2" t="s">
        <v>31</v>
      </c>
      <c r="D24" s="2" t="s">
        <v>21</v>
      </c>
      <c r="E24" s="2" t="s">
        <v>11</v>
      </c>
      <c r="F24" s="2">
        <v>1729</v>
      </c>
      <c r="G24" s="2">
        <v>197.55</v>
      </c>
      <c r="H24" s="2" t="s">
        <v>13</v>
      </c>
      <c r="I24" s="7">
        <v>44963</v>
      </c>
    </row>
    <row r="25" spans="1:9" ht="15.75" customHeight="1" x14ac:dyDescent="0.25">
      <c r="A25" s="2" t="s">
        <v>44</v>
      </c>
      <c r="B25" s="2" t="s">
        <v>9</v>
      </c>
      <c r="C25" s="2" t="s">
        <v>10</v>
      </c>
      <c r="D25" s="2" t="s">
        <v>25</v>
      </c>
      <c r="E25" s="2" t="s">
        <v>16</v>
      </c>
      <c r="F25" s="2">
        <v>1376</v>
      </c>
      <c r="G25" s="2">
        <v>96.63</v>
      </c>
      <c r="H25" s="2" t="s">
        <v>13</v>
      </c>
      <c r="I25" s="7">
        <v>44971</v>
      </c>
    </row>
    <row r="26" spans="1:9" ht="15.75" customHeight="1" x14ac:dyDescent="0.25">
      <c r="A26" s="2" t="s">
        <v>45</v>
      </c>
      <c r="B26" s="2" t="s">
        <v>9</v>
      </c>
      <c r="C26" s="2" t="s">
        <v>28</v>
      </c>
      <c r="D26" s="2" t="s">
        <v>17</v>
      </c>
      <c r="E26" s="2" t="s">
        <v>21</v>
      </c>
      <c r="F26" s="2">
        <v>1721</v>
      </c>
      <c r="G26" s="2">
        <v>120.65</v>
      </c>
      <c r="H26" s="2" t="s">
        <v>22</v>
      </c>
      <c r="I26" s="7">
        <v>44963</v>
      </c>
    </row>
    <row r="27" spans="1:9" ht="15.75" customHeight="1" x14ac:dyDescent="0.25">
      <c r="A27" s="2" t="s">
        <v>46</v>
      </c>
      <c r="B27" s="2" t="s">
        <v>30</v>
      </c>
      <c r="C27" s="2" t="s">
        <v>31</v>
      </c>
      <c r="D27" s="2" t="s">
        <v>21</v>
      </c>
      <c r="E27" s="2" t="s">
        <v>12</v>
      </c>
      <c r="F27" s="2">
        <v>1784</v>
      </c>
      <c r="G27" s="2">
        <v>131.01</v>
      </c>
      <c r="H27" s="2" t="s">
        <v>22</v>
      </c>
      <c r="I27" s="7">
        <v>44943</v>
      </c>
    </row>
    <row r="28" spans="1:9" ht="15.75" customHeight="1" x14ac:dyDescent="0.25">
      <c r="A28" s="2" t="s">
        <v>47</v>
      </c>
      <c r="B28" s="2" t="s">
        <v>14</v>
      </c>
      <c r="C28" s="2" t="s">
        <v>20</v>
      </c>
      <c r="D28" s="2" t="s">
        <v>12</v>
      </c>
      <c r="E28" s="2" t="s">
        <v>25</v>
      </c>
      <c r="F28" s="2">
        <v>1007</v>
      </c>
      <c r="G28" s="2">
        <v>116.6</v>
      </c>
      <c r="H28" s="2" t="s">
        <v>22</v>
      </c>
      <c r="I28" s="7">
        <v>44974</v>
      </c>
    </row>
    <row r="29" spans="1:9" ht="15.75" customHeight="1" x14ac:dyDescent="0.25">
      <c r="A29" s="2" t="s">
        <v>48</v>
      </c>
      <c r="B29" s="2" t="s">
        <v>30</v>
      </c>
      <c r="C29" s="2" t="s">
        <v>35</v>
      </c>
      <c r="D29" s="2" t="s">
        <v>12</v>
      </c>
      <c r="E29" s="2" t="s">
        <v>17</v>
      </c>
      <c r="F29" s="2">
        <v>1903</v>
      </c>
      <c r="G29" s="2">
        <v>151.18</v>
      </c>
      <c r="H29" s="2" t="s">
        <v>22</v>
      </c>
      <c r="I29" s="7">
        <v>44977</v>
      </c>
    </row>
    <row r="30" spans="1:9" ht="15.75" customHeight="1" x14ac:dyDescent="0.25">
      <c r="A30" s="2" t="s">
        <v>49</v>
      </c>
      <c r="B30" s="2" t="s">
        <v>50</v>
      </c>
      <c r="C30" s="2" t="s">
        <v>35</v>
      </c>
      <c r="D30" s="2" t="s">
        <v>16</v>
      </c>
      <c r="E30" s="2" t="s">
        <v>17</v>
      </c>
      <c r="F30" s="2">
        <v>1262</v>
      </c>
      <c r="G30" s="2">
        <v>100.72</v>
      </c>
      <c r="H30" s="2" t="s">
        <v>13</v>
      </c>
      <c r="I30" s="7">
        <v>44954</v>
      </c>
    </row>
    <row r="31" spans="1:9" ht="15.75" customHeight="1" x14ac:dyDescent="0.25">
      <c r="A31" s="2" t="s">
        <v>51</v>
      </c>
      <c r="B31" s="2" t="s">
        <v>26</v>
      </c>
      <c r="C31" s="2" t="s">
        <v>18</v>
      </c>
      <c r="D31" s="2" t="s">
        <v>25</v>
      </c>
      <c r="E31" s="2" t="s">
        <v>19</v>
      </c>
      <c r="F31" s="2">
        <v>317</v>
      </c>
      <c r="G31" s="2">
        <v>28.83</v>
      </c>
      <c r="H31" s="2" t="s">
        <v>13</v>
      </c>
      <c r="I31" s="7">
        <v>44985</v>
      </c>
    </row>
    <row r="32" spans="1:9" ht="15.75" customHeight="1" x14ac:dyDescent="0.25">
      <c r="A32" s="2" t="s">
        <v>52</v>
      </c>
      <c r="B32" s="2" t="s">
        <v>30</v>
      </c>
      <c r="C32" s="2" t="s">
        <v>31</v>
      </c>
      <c r="D32" s="2" t="s">
        <v>19</v>
      </c>
      <c r="E32" s="2" t="s">
        <v>11</v>
      </c>
      <c r="F32" s="2">
        <v>1188</v>
      </c>
      <c r="G32" s="2">
        <v>92.84</v>
      </c>
      <c r="H32" s="2" t="s">
        <v>13</v>
      </c>
      <c r="I32" s="7">
        <v>44960</v>
      </c>
    </row>
    <row r="33" spans="1:9" ht="15.75" customHeight="1" x14ac:dyDescent="0.25">
      <c r="A33" s="2" t="s">
        <v>53</v>
      </c>
      <c r="B33" s="2" t="s">
        <v>50</v>
      </c>
      <c r="C33" s="2" t="s">
        <v>27</v>
      </c>
      <c r="D33" s="2" t="s">
        <v>19</v>
      </c>
      <c r="E33" s="2" t="s">
        <v>25</v>
      </c>
      <c r="F33" s="2">
        <v>398</v>
      </c>
      <c r="G33" s="2">
        <v>43.89</v>
      </c>
      <c r="H33" s="2" t="s">
        <v>22</v>
      </c>
      <c r="I33" s="7">
        <v>44962</v>
      </c>
    </row>
    <row r="34" spans="1:9" ht="15.75" customHeight="1" x14ac:dyDescent="0.25">
      <c r="A34" s="2" t="s">
        <v>54</v>
      </c>
      <c r="B34" s="2" t="s">
        <v>30</v>
      </c>
      <c r="C34" s="2" t="s">
        <v>18</v>
      </c>
      <c r="D34" s="2" t="s">
        <v>19</v>
      </c>
      <c r="E34" s="2" t="s">
        <v>21</v>
      </c>
      <c r="F34" s="2">
        <v>385</v>
      </c>
      <c r="G34" s="2">
        <v>31.03</v>
      </c>
      <c r="H34" s="2" t="s">
        <v>22</v>
      </c>
      <c r="I34" s="7">
        <v>44950</v>
      </c>
    </row>
    <row r="35" spans="1:9" ht="15.75" customHeight="1" x14ac:dyDescent="0.25">
      <c r="A35" s="2" t="s">
        <v>55</v>
      </c>
      <c r="B35" s="2" t="s">
        <v>26</v>
      </c>
      <c r="C35" s="2" t="s">
        <v>27</v>
      </c>
      <c r="D35" s="2" t="s">
        <v>11</v>
      </c>
      <c r="E35" s="2" t="s">
        <v>19</v>
      </c>
      <c r="F35" s="2">
        <v>818</v>
      </c>
      <c r="G35" s="2">
        <v>94.24</v>
      </c>
      <c r="H35" s="2" t="s">
        <v>22</v>
      </c>
      <c r="I35" s="7">
        <v>44975</v>
      </c>
    </row>
    <row r="36" spans="1:9" ht="15.75" customHeight="1" x14ac:dyDescent="0.25">
      <c r="A36" s="2" t="s">
        <v>56</v>
      </c>
      <c r="B36" s="2" t="s">
        <v>9</v>
      </c>
      <c r="C36" s="2" t="s">
        <v>31</v>
      </c>
      <c r="D36" s="2" t="s">
        <v>11</v>
      </c>
      <c r="E36" s="2" t="s">
        <v>25</v>
      </c>
      <c r="F36" s="2">
        <v>1806</v>
      </c>
      <c r="G36" s="2">
        <v>121.36</v>
      </c>
      <c r="H36" s="2" t="s">
        <v>13</v>
      </c>
      <c r="I36" s="7">
        <v>44967</v>
      </c>
    </row>
    <row r="37" spans="1:9" ht="15.75" customHeight="1" x14ac:dyDescent="0.25">
      <c r="A37" s="2" t="s">
        <v>57</v>
      </c>
      <c r="B37" s="2" t="s">
        <v>26</v>
      </c>
      <c r="C37" s="2" t="s">
        <v>27</v>
      </c>
      <c r="D37" s="2" t="s">
        <v>11</v>
      </c>
      <c r="E37" s="2" t="s">
        <v>12</v>
      </c>
      <c r="F37" s="2">
        <v>424</v>
      </c>
      <c r="G37" s="2">
        <v>37.630000000000003</v>
      </c>
      <c r="H37" s="2" t="s">
        <v>13</v>
      </c>
      <c r="I37" s="7">
        <v>44975</v>
      </c>
    </row>
    <row r="38" spans="1:9" ht="15.75" customHeight="1" x14ac:dyDescent="0.25">
      <c r="A38" s="2" t="s">
        <v>58</v>
      </c>
      <c r="B38" s="2" t="s">
        <v>14</v>
      </c>
      <c r="C38" s="2" t="s">
        <v>10</v>
      </c>
      <c r="D38" s="2" t="s">
        <v>11</v>
      </c>
      <c r="E38" s="2" t="s">
        <v>17</v>
      </c>
      <c r="F38" s="2">
        <v>909</v>
      </c>
      <c r="G38" s="2">
        <v>70.400000000000006</v>
      </c>
      <c r="H38" s="2" t="s">
        <v>13</v>
      </c>
      <c r="I38" s="7">
        <v>44944</v>
      </c>
    </row>
    <row r="39" spans="1:9" ht="15.75" customHeight="1" x14ac:dyDescent="0.25">
      <c r="A39" s="2" t="s">
        <v>59</v>
      </c>
      <c r="B39" s="2" t="s">
        <v>60</v>
      </c>
      <c r="C39" s="2" t="s">
        <v>35</v>
      </c>
      <c r="D39" s="2" t="s">
        <v>17</v>
      </c>
      <c r="E39" s="2" t="s">
        <v>16</v>
      </c>
      <c r="F39" s="2">
        <v>1404</v>
      </c>
      <c r="G39" s="2">
        <v>151.36000000000001</v>
      </c>
      <c r="H39" s="2" t="s">
        <v>22</v>
      </c>
      <c r="I39" s="7">
        <v>44981</v>
      </c>
    </row>
    <row r="40" spans="1:9" ht="15.75" customHeight="1" x14ac:dyDescent="0.25">
      <c r="A40" s="2" t="s">
        <v>61</v>
      </c>
      <c r="B40" s="2" t="s">
        <v>60</v>
      </c>
      <c r="C40" s="2" t="s">
        <v>24</v>
      </c>
      <c r="D40" s="2" t="s">
        <v>17</v>
      </c>
      <c r="E40" s="2" t="s">
        <v>12</v>
      </c>
      <c r="F40" s="2">
        <v>555</v>
      </c>
      <c r="G40" s="2">
        <v>37.39</v>
      </c>
      <c r="H40" s="2" t="s">
        <v>13</v>
      </c>
      <c r="I40" s="7">
        <v>44937</v>
      </c>
    </row>
    <row r="41" spans="1:9" ht="15.75" customHeight="1" x14ac:dyDescent="0.25">
      <c r="A41" s="2" t="s">
        <v>62</v>
      </c>
      <c r="B41" s="2" t="s">
        <v>50</v>
      </c>
      <c r="C41" s="2" t="s">
        <v>15</v>
      </c>
      <c r="D41" s="2" t="s">
        <v>19</v>
      </c>
      <c r="E41" s="2" t="s">
        <v>25</v>
      </c>
      <c r="F41" s="2">
        <v>705</v>
      </c>
      <c r="G41" s="2">
        <v>62.94</v>
      </c>
      <c r="H41" s="2" t="s">
        <v>22</v>
      </c>
      <c r="I41" s="7">
        <v>44938</v>
      </c>
    </row>
    <row r="42" spans="1:9" ht="15.75" customHeight="1" x14ac:dyDescent="0.25">
      <c r="A42" s="2" t="s">
        <v>63</v>
      </c>
      <c r="B42" s="2" t="s">
        <v>14</v>
      </c>
      <c r="C42" s="2" t="s">
        <v>10</v>
      </c>
      <c r="D42" s="2" t="s">
        <v>19</v>
      </c>
      <c r="E42" s="2" t="s">
        <v>11</v>
      </c>
      <c r="F42" s="2">
        <v>64</v>
      </c>
      <c r="G42" s="2">
        <v>4.96</v>
      </c>
      <c r="H42" s="2" t="s">
        <v>22</v>
      </c>
      <c r="I42" s="7">
        <v>44952</v>
      </c>
    </row>
    <row r="43" spans="1:9" ht="15.75" customHeight="1" x14ac:dyDescent="0.25">
      <c r="A43" s="2" t="s">
        <v>64</v>
      </c>
      <c r="B43" s="2" t="s">
        <v>30</v>
      </c>
      <c r="C43" s="2" t="s">
        <v>24</v>
      </c>
      <c r="D43" s="2" t="s">
        <v>19</v>
      </c>
      <c r="E43" s="2" t="s">
        <v>21</v>
      </c>
      <c r="F43" s="2">
        <v>1245</v>
      </c>
      <c r="G43" s="2">
        <v>95.14</v>
      </c>
      <c r="H43" s="2" t="s">
        <v>13</v>
      </c>
      <c r="I43" s="7">
        <v>44967</v>
      </c>
    </row>
    <row r="44" spans="1:9" ht="15.75" customHeight="1" x14ac:dyDescent="0.25">
      <c r="A44" s="2" t="s">
        <v>65</v>
      </c>
      <c r="B44" s="2" t="s">
        <v>14</v>
      </c>
      <c r="C44" s="2" t="s">
        <v>35</v>
      </c>
      <c r="D44" s="2" t="s">
        <v>19</v>
      </c>
      <c r="E44" s="2" t="s">
        <v>17</v>
      </c>
      <c r="F44" s="2">
        <v>116</v>
      </c>
      <c r="G44" s="2">
        <v>8.7100000000000009</v>
      </c>
      <c r="H44" s="2" t="s">
        <v>22</v>
      </c>
      <c r="I44" s="7">
        <v>44932</v>
      </c>
    </row>
    <row r="45" spans="1:9" ht="15.75" customHeight="1" x14ac:dyDescent="0.25">
      <c r="A45" s="2" t="s">
        <v>66</v>
      </c>
      <c r="B45" s="2" t="s">
        <v>9</v>
      </c>
      <c r="C45" s="2" t="s">
        <v>20</v>
      </c>
      <c r="D45" s="2" t="s">
        <v>11</v>
      </c>
      <c r="E45" s="2" t="s">
        <v>16</v>
      </c>
      <c r="F45" s="2">
        <v>1259</v>
      </c>
      <c r="G45" s="2">
        <v>87.59</v>
      </c>
      <c r="H45" s="2" t="s">
        <v>22</v>
      </c>
      <c r="I45" s="7">
        <v>44955</v>
      </c>
    </row>
    <row r="46" spans="1:9" ht="15.75" customHeight="1" x14ac:dyDescent="0.25">
      <c r="A46" s="2" t="s">
        <v>67</v>
      </c>
      <c r="B46" s="2" t="s">
        <v>26</v>
      </c>
      <c r="C46" s="2" t="s">
        <v>24</v>
      </c>
      <c r="D46" s="2" t="s">
        <v>25</v>
      </c>
      <c r="E46" s="2" t="s">
        <v>21</v>
      </c>
      <c r="F46" s="2">
        <v>1803</v>
      </c>
      <c r="G46" s="2">
        <v>211.34</v>
      </c>
      <c r="H46" s="2" t="s">
        <v>13</v>
      </c>
      <c r="I46" s="7">
        <v>44970</v>
      </c>
    </row>
    <row r="47" spans="1:9" ht="15.75" customHeight="1" x14ac:dyDescent="0.25">
      <c r="A47" s="2" t="s">
        <v>68</v>
      </c>
      <c r="B47" s="2" t="s">
        <v>9</v>
      </c>
      <c r="C47" s="2" t="s">
        <v>20</v>
      </c>
      <c r="D47" s="2" t="s">
        <v>21</v>
      </c>
      <c r="E47" s="2" t="s">
        <v>19</v>
      </c>
      <c r="F47" s="2">
        <v>1096</v>
      </c>
      <c r="G47" s="2">
        <v>100.52</v>
      </c>
      <c r="H47" s="2" t="s">
        <v>22</v>
      </c>
      <c r="I47" s="7">
        <v>44947</v>
      </c>
    </row>
    <row r="48" spans="1:9" ht="15.75" customHeight="1" x14ac:dyDescent="0.25">
      <c r="A48" s="2" t="s">
        <v>69</v>
      </c>
      <c r="B48" s="2" t="s">
        <v>30</v>
      </c>
      <c r="C48" s="2" t="s">
        <v>35</v>
      </c>
      <c r="D48" s="2" t="s">
        <v>19</v>
      </c>
      <c r="E48" s="2" t="s">
        <v>11</v>
      </c>
      <c r="F48" s="2">
        <v>572</v>
      </c>
      <c r="G48" s="2">
        <v>61.6</v>
      </c>
      <c r="H48" s="2" t="s">
        <v>13</v>
      </c>
      <c r="I48" s="7">
        <v>44948</v>
      </c>
    </row>
    <row r="49" spans="1:9" ht="15.75" customHeight="1" x14ac:dyDescent="0.25">
      <c r="A49" s="2" t="s">
        <v>70</v>
      </c>
      <c r="B49" s="2" t="s">
        <v>9</v>
      </c>
      <c r="C49" s="2" t="s">
        <v>10</v>
      </c>
      <c r="D49" s="2" t="s">
        <v>21</v>
      </c>
      <c r="E49" s="2" t="s">
        <v>17</v>
      </c>
      <c r="F49" s="2">
        <v>1441</v>
      </c>
      <c r="G49" s="2">
        <v>140.79</v>
      </c>
      <c r="H49" s="2" t="s">
        <v>22</v>
      </c>
      <c r="I49" s="7">
        <v>44985</v>
      </c>
    </row>
    <row r="50" spans="1:9" ht="15.75" customHeight="1" x14ac:dyDescent="0.25">
      <c r="A50" s="2" t="s">
        <v>71</v>
      </c>
      <c r="B50" s="2" t="s">
        <v>23</v>
      </c>
      <c r="C50" s="2" t="s">
        <v>31</v>
      </c>
      <c r="D50" s="2" t="s">
        <v>17</v>
      </c>
      <c r="E50" s="2" t="s">
        <v>16</v>
      </c>
      <c r="F50" s="2">
        <v>1685</v>
      </c>
      <c r="G50" s="2">
        <v>119.01</v>
      </c>
      <c r="H50" s="2" t="s">
        <v>22</v>
      </c>
      <c r="I50" s="7">
        <v>44973</v>
      </c>
    </row>
    <row r="51" spans="1:9" ht="15.75" customHeight="1" x14ac:dyDescent="0.25">
      <c r="A51" s="2" t="s">
        <v>72</v>
      </c>
      <c r="B51" s="2" t="s">
        <v>14</v>
      </c>
      <c r="C51" s="2" t="s">
        <v>24</v>
      </c>
      <c r="D51" s="2" t="s">
        <v>16</v>
      </c>
      <c r="E51" s="2" t="s">
        <v>11</v>
      </c>
      <c r="F51" s="2">
        <v>1233</v>
      </c>
      <c r="G51" s="2">
        <v>153.35</v>
      </c>
      <c r="H51" s="2" t="s">
        <v>13</v>
      </c>
      <c r="I51" s="7">
        <v>44938</v>
      </c>
    </row>
    <row r="52" spans="1:9" ht="15.75" customHeight="1" x14ac:dyDescent="0.25"/>
    <row r="53" spans="1:9" ht="15.75" customHeight="1" x14ac:dyDescent="0.25"/>
    <row r="54" spans="1:9" ht="15.75" customHeight="1" x14ac:dyDescent="0.25"/>
    <row r="55" spans="1:9" ht="15.75" customHeight="1" x14ac:dyDescent="0.25"/>
    <row r="56" spans="1:9" ht="15.75" customHeight="1" x14ac:dyDescent="0.25"/>
    <row r="57" spans="1:9" ht="15.75" customHeight="1" x14ac:dyDescent="0.25"/>
    <row r="58" spans="1:9" ht="15.75" customHeight="1" x14ac:dyDescent="0.25"/>
    <row r="59" spans="1:9" ht="15.75" customHeight="1" x14ac:dyDescent="0.25"/>
    <row r="60" spans="1:9" ht="15.75" customHeight="1" x14ac:dyDescent="0.25"/>
    <row r="61" spans="1:9" ht="15.75" customHeight="1" x14ac:dyDescent="0.25"/>
    <row r="62" spans="1:9" ht="15.75" customHeight="1" x14ac:dyDescent="0.25"/>
    <row r="63" spans="1:9" ht="15.75" customHeight="1" x14ac:dyDescent="0.25"/>
    <row r="64" spans="1:9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4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000"/>
  <sheetViews>
    <sheetView workbookViewId="0">
      <selection activeCell="C17" sqref="C17"/>
    </sheetView>
  </sheetViews>
  <sheetFormatPr defaultColWidth="14.42578125" defaultRowHeight="15" customHeight="1" x14ac:dyDescent="0.25"/>
  <cols>
    <col min="1" max="1" width="10.42578125" customWidth="1"/>
    <col min="2" max="2" width="12.7109375" customWidth="1"/>
    <col min="3" max="3" width="11.7109375" customWidth="1"/>
    <col min="4" max="4" width="17.42578125" customWidth="1"/>
    <col min="5" max="5" width="17.85546875" bestFit="1" customWidth="1"/>
    <col min="6" max="6" width="15.28515625" bestFit="1" customWidth="1"/>
    <col min="7" max="8" width="12.28515625" bestFit="1" customWidth="1"/>
    <col min="9" max="9" width="21.85546875" bestFit="1" customWidth="1"/>
    <col min="10" max="26" width="8.7109375" customWidth="1"/>
  </cols>
  <sheetData>
    <row r="1" spans="1:9" x14ac:dyDescent="0.25">
      <c r="A1" s="3" t="s">
        <v>1</v>
      </c>
      <c r="B1" s="3" t="s">
        <v>73</v>
      </c>
      <c r="C1" s="3" t="s">
        <v>74</v>
      </c>
      <c r="D1" s="3" t="s">
        <v>75</v>
      </c>
      <c r="E1" s="4" t="s">
        <v>91</v>
      </c>
      <c r="F1" s="4" t="s">
        <v>92</v>
      </c>
      <c r="G1" s="4" t="s">
        <v>93</v>
      </c>
      <c r="H1" s="4" t="s">
        <v>94</v>
      </c>
      <c r="I1" s="5" t="s">
        <v>95</v>
      </c>
    </row>
    <row r="2" spans="1:9" x14ac:dyDescent="0.25">
      <c r="A2" s="2" t="s">
        <v>50</v>
      </c>
      <c r="B2" s="2" t="s">
        <v>76</v>
      </c>
      <c r="C2" s="2">
        <v>8424</v>
      </c>
      <c r="D2" s="2">
        <v>5633</v>
      </c>
      <c r="E2">
        <f>SUM(Trip_Data!F30+Trip_Data!F33+Trip_Data!F41)</f>
        <v>2365</v>
      </c>
      <c r="F2">
        <f>SUM(Trip_Data!G30+Trip_Data!G33+Trip_Data!G41)</f>
        <v>207.55</v>
      </c>
      <c r="G2">
        <f>COUNTA(Trip_Data!H30)</f>
        <v>1</v>
      </c>
      <c r="H2">
        <f>COUNTA(Trip_Data!H30,Trip_Data!H33,Trip_Data!H41)</f>
        <v>3</v>
      </c>
      <c r="I2">
        <f>SUM(F2+D2)</f>
        <v>5840.55</v>
      </c>
    </row>
    <row r="3" spans="1:9" x14ac:dyDescent="0.25">
      <c r="A3" s="2" t="s">
        <v>26</v>
      </c>
      <c r="B3" s="2" t="s">
        <v>77</v>
      </c>
      <c r="C3" s="2">
        <v>1970</v>
      </c>
      <c r="D3" s="2">
        <v>6776</v>
      </c>
      <c r="E3">
        <f>SUM(Trip_Data!F9+Trip_Data!F10+Trip_Data!F11+Trip_Data!F31+Trip_Data!F35+Trip_Data!F37+Trip_Data!F46)</f>
        <v>4997</v>
      </c>
      <c r="F3">
        <f>SUM(Trip_Data!G9+Trip_Data!G10+Trip_Data!G11+Trip_Data!G31+Trip_Data!G35+Trip_Data!G37+Trip_Data!G46)</f>
        <v>498.71000000000004</v>
      </c>
      <c r="G3">
        <f>COUNTA(Trip_Data!H9,Trip_Data!H10,Trip_Data!H31,Trip_Data!H37,Trip_Data!H46)</f>
        <v>5</v>
      </c>
      <c r="H3">
        <f>COUNTA(Trip_Data!H9,Trip_Data!H10,Trip_Data!H11,Trip_Data!H31,Trip_Data!H35,Trip_Data!H46,Trip_Data!H37)</f>
        <v>7</v>
      </c>
      <c r="I3">
        <f t="shared" ref="I3:I8" si="0">SUM(F3+D3)</f>
        <v>7274.71</v>
      </c>
    </row>
    <row r="4" spans="1:9" x14ac:dyDescent="0.25">
      <c r="A4" s="2" t="s">
        <v>60</v>
      </c>
      <c r="B4" s="2" t="s">
        <v>77</v>
      </c>
      <c r="C4" s="2">
        <v>1207</v>
      </c>
      <c r="D4" s="2">
        <v>18031</v>
      </c>
      <c r="E4">
        <f>SUM(Trip_Data!F39+Trip_Data!F40)</f>
        <v>1959</v>
      </c>
      <c r="F4">
        <f>SUM(Trip_Data!G8+Trip_Data!G18+Trip_Data!G19+Trip_Data!G20+Trip_Data!G22+Trip_Data!G23+Trip_Data!G39+Trip_Data!G40+Trip_Data!G50)</f>
        <v>774.92</v>
      </c>
      <c r="G4">
        <f>COUNTA(Trip_Data!H8,Trip_Data!H18,Trip_Data!H19,Trip_Data!H20,Trip_Data!H23,Trip_Data!H40)</f>
        <v>6</v>
      </c>
      <c r="H4">
        <f>COUNTA(Trip_Data!H8,Trip_Data!H18,Trip_Data!H19,Trip_Data!H20,Trip_Data!H22,Trip_Data!H23,Trip_Data!H39,Trip_Data!H40,Trip_Data!H50)</f>
        <v>9</v>
      </c>
      <c r="I4">
        <f t="shared" si="0"/>
        <v>18805.919999999998</v>
      </c>
    </row>
    <row r="5" spans="1:9" x14ac:dyDescent="0.25">
      <c r="A5" s="2" t="s">
        <v>9</v>
      </c>
      <c r="B5" s="2" t="s">
        <v>78</v>
      </c>
      <c r="C5" s="2">
        <v>8803</v>
      </c>
      <c r="D5" s="2">
        <v>9033</v>
      </c>
      <c r="E5">
        <f>SUM(Trip_Data!F2+Trip_Data!F5+Trip_Data!F21+Trip_Data!F25+Trip_Data!F26+Trip_Data!F36+Trip_Data!F45+Trip_Data!F47+Trip_Data!F49)</f>
        <v>11894</v>
      </c>
      <c r="F5">
        <f>SUM(Trip_Data!G2+Trip_Data!G5+Trip_Data!G21+Trip_Data!G25+Trip_Data!G26+Trip_Data!G36+Trip_Data!G45+Trip_Data!G47+Trip_Data!G49)</f>
        <v>951.43</v>
      </c>
      <c r="G5">
        <f>COUNTA(Trip_Data!H2,Trip_Data!H5,Trip_Data!H21,Trip_Data!H25,Trip_Data!H36)</f>
        <v>5</v>
      </c>
      <c r="H5">
        <f>COUNTA(Trip_Data!H2,Trip_Data!H5,Trip_Data!H21,Trip_Data!H25,Trip_Data!H26,Trip_Data!H36,Trip_Data!H45,Trip_Data!H47,Trip_Data!H49)</f>
        <v>9</v>
      </c>
      <c r="I5">
        <f t="shared" si="0"/>
        <v>9984.43</v>
      </c>
    </row>
    <row r="6" spans="1:9" x14ac:dyDescent="0.25">
      <c r="A6" s="2" t="s">
        <v>30</v>
      </c>
      <c r="B6" s="2" t="s">
        <v>77</v>
      </c>
      <c r="C6" s="2">
        <v>9941</v>
      </c>
      <c r="D6" s="2">
        <v>17751</v>
      </c>
      <c r="E6">
        <f>SUM(Trip_Data!F14+Trip_Data!F15+Trip_Data!F16+Trip_Data!F17+Trip_Data!F27+Trip_Data!F29+Trip_Data!F32+Trip_Data!F34+Trip_Data!F43+Trip_Data!F48)</f>
        <v>12986</v>
      </c>
      <c r="F6">
        <f>SUM(Trip_Data!F14+Trip_Data!F15+Trip_Data!F16+Trip_Data!F17+Trip_Data!F27+Trip_Data!F29+Trip_Data!F32+Trip_Data!F43+Trip_Data!F34+Trip_Data!F48)</f>
        <v>12986</v>
      </c>
      <c r="G6">
        <f>COUNTA(Trip_Data!H15,Trip_Data!H16,Trip_Data!H32,Trip_Data!H43,Trip_Data!H48)</f>
        <v>5</v>
      </c>
      <c r="H6">
        <f>COUNTA(Trip_Data!H14,Trip_Data!H15,Trip_Data!H16,Trip_Data!H17,Trip_Data!H27,Trip_Data!H29,Trip_Data!H32,Trip_Data!H34,Trip_Data!H43,Trip_Data!H48)</f>
        <v>10</v>
      </c>
      <c r="I6">
        <f t="shared" si="0"/>
        <v>30737</v>
      </c>
    </row>
    <row r="7" spans="1:9" x14ac:dyDescent="0.25">
      <c r="A7" s="2" t="s">
        <v>14</v>
      </c>
      <c r="B7" s="2" t="s">
        <v>76</v>
      </c>
      <c r="C7" s="2">
        <v>6053</v>
      </c>
      <c r="D7" s="2">
        <v>5914</v>
      </c>
      <c r="E7">
        <f>SUM(Trip_Data!F3+Trip_Data!F4+Trip_Data!F6+Trip_Data!F7+Trip_Data!F12+Trip_Data!F13+Trip_Data!F24+Trip_Data!F28+Trip_Data!F38+Trip_Data!F42+Trip_Data!F44+Trip_Data!F51)</f>
        <v>11087</v>
      </c>
      <c r="F7">
        <f>SUM(Trip_Data!G3+Trip_Data!G4+Trip_Data!G6+Trip_Data!G7+Trip_Data!G12+Trip_Data!G13+Trip_Data!G24+Trip_Data!G28+Trip_Data!G38+Trip_Data!G42+Trip_Data!G44+Trip_Data!G51)</f>
        <v>1068.78</v>
      </c>
      <c r="G7">
        <f>COUNTA(Trip_Data!H3,Trip_Data!H4,Trip_Data!H6,Trip_Data!H12,Trip_Data!H13,Trip_Data!H24,Trip_Data!H38,Trip_Data!H51)</f>
        <v>8</v>
      </c>
      <c r="H7">
        <f>COUNTA(Trip_Data!H3,Trip_Data!H4,Trip_Data!H6,Trip_Data!H7,Trip_Data!H12,Trip_Data!H13,Trip_Data!H24,Trip_Data!H28,Trip_Data!H38,Trip_Data!H42,Trip_Data!H44,Trip_Data!H51)</f>
        <v>12</v>
      </c>
      <c r="I7">
        <f t="shared" si="0"/>
        <v>6982.78</v>
      </c>
    </row>
    <row r="8" spans="1:9" x14ac:dyDescent="0.25">
      <c r="A8" s="2" t="s">
        <v>23</v>
      </c>
      <c r="B8" s="2" t="s">
        <v>76</v>
      </c>
      <c r="C8" s="2">
        <v>2598</v>
      </c>
      <c r="D8" s="2">
        <v>12837</v>
      </c>
      <c r="E8">
        <f>SUM(Trip_Data!F8+Trip_Data!F18+Trip_Data!F19+Trip_Data!F20+Trip_Data!F22+Trip_Data!F23+Trip_Data!F50)</f>
        <v>7653</v>
      </c>
      <c r="F8">
        <f>SUM(Trip_Data!G8+Trip_Data!G18+Trip_Data!G19+Trip_Data!G20+Trip_Data!G22+Trip_Data!G23+Trip_Data!G50)</f>
        <v>586.17000000000007</v>
      </c>
      <c r="G8">
        <f>COUNTA(Trip_Data!H8,Trip_Data!H18,Trip_Data!H19,Trip_Data!H20,Trip_Data!H23)</f>
        <v>5</v>
      </c>
      <c r="H8">
        <f>COUNTA(Trip_Data!H8,Trip_Data!H18,Trip_Data!H19,Trip_Data!H20,Trip_Data!H22,Trip_Data!H23,Trip_Data!H50)</f>
        <v>7</v>
      </c>
      <c r="I8">
        <f t="shared" si="0"/>
        <v>13423.17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Trip_Data</vt:lpstr>
      <vt:lpstr>Vehicle_Master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2025-08-18T10:15:23Z</dcterms:created>
  <dcterms:modified xsi:type="dcterms:W3CDTF">2025-10-12T19:07:36Z</dcterms:modified>
</cp:coreProperties>
</file>